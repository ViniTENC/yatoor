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BD91B374-89FE-4355-84BC-813E6A35D0FF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Estrategia y Arquitectura" sheetId="1" r:id="rId1"/>
    <sheet name="Costos Fijos" sheetId="2" r:id="rId2"/>
    <sheet name="Costos Variables Unitarios" sheetId="3" r:id="rId3"/>
    <sheet name="Proyección y Break-Even" sheetId="4" r:id="rId4"/>
    <sheet name="Proyección de Ingresos Netos" sheetId="5" r:id="rId5"/>
    <sheet name="Benchmark y Fu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D8" i="5" s="1"/>
  <c r="E8" i="5" s="1"/>
  <c r="C8" i="5"/>
  <c r="F8" i="5"/>
  <c r="I8" i="5"/>
  <c r="J8" i="5" s="1"/>
  <c r="K8" i="5" s="1"/>
  <c r="C9" i="5"/>
  <c r="D9" i="5" s="1"/>
  <c r="E9" i="5" s="1"/>
  <c r="F9" i="5"/>
  <c r="I9" i="5"/>
  <c r="C10" i="5"/>
  <c r="D10" i="5" s="1"/>
  <c r="E10" i="5" s="1"/>
  <c r="F10" i="5"/>
  <c r="G10" i="5" s="1"/>
  <c r="H10" i="5" s="1"/>
  <c r="I10" i="5"/>
  <c r="C11" i="5"/>
  <c r="F11" i="5"/>
  <c r="G11" i="5" s="1"/>
  <c r="H11" i="5" s="1"/>
  <c r="I11" i="5"/>
  <c r="J11" i="5" s="1"/>
  <c r="K11" i="5" s="1"/>
  <c r="D10" i="4"/>
  <c r="E9" i="4"/>
  <c r="D9" i="4"/>
  <c r="C9" i="4"/>
  <c r="B3" i="4"/>
  <c r="B4" i="4" s="1"/>
  <c r="D6" i="3"/>
  <c r="D8" i="4" s="1"/>
  <c r="D7" i="2"/>
  <c r="C8" i="4" s="1"/>
  <c r="E8" i="4" s="1"/>
  <c r="F8" i="4" s="1"/>
  <c r="G8" i="4" s="1"/>
  <c r="D11" i="5" l="1"/>
  <c r="E11" i="5" s="1"/>
  <c r="J9" i="5"/>
  <c r="K9" i="5" s="1"/>
  <c r="G8" i="5"/>
  <c r="H8" i="5" s="1"/>
  <c r="J10" i="5"/>
  <c r="K10" i="5" s="1"/>
  <c r="G9" i="5"/>
  <c r="H9" i="5" s="1"/>
  <c r="F9" i="4"/>
  <c r="G9" i="4" s="1"/>
  <c r="C7" i="4"/>
  <c r="E7" i="4" s="1"/>
  <c r="F7" i="4" s="1"/>
  <c r="G7" i="4" s="1"/>
  <c r="D7" i="4"/>
  <c r="C10" i="4"/>
  <c r="E10" i="4" s="1"/>
  <c r="F10" i="4" s="1"/>
  <c r="G10" i="4" s="1"/>
</calcChain>
</file>

<file path=xl/sharedStrings.xml><?xml version="1.0" encoding="utf-8"?>
<sst xmlns="http://schemas.openxmlformats.org/spreadsheetml/2006/main" count="128" uniqueCount="119">
  <si>
    <t>Plan Maestro de Yatoor: Producto, Arquitectura y Finanzas</t>
  </si>
  <si>
    <t>1. Producto y Experiencia de Usuario (UX/UI)</t>
  </si>
  <si>
    <t>Mapa (Tab Izquierdo)</t>
  </si>
  <si>
    <t>Lienzo principal. Muestra puntos de interés cercanos (exploración libre) y la ruta activa (modo tour). Se apoya en geofencing (radios de 50 metros) para disparar audios o notificaciones al llegar a un punto, ahorrando batería.</t>
  </si>
  <si>
    <t>Yatoor (Tab Central)</t>
  </si>
  <si>
    <t>El cerebro de la app. Interfaz conversacional que devuelve tarjetas estructuradas (tiempo, distancia, paradas) y no textos largos.</t>
  </si>
  <si>
    <t>Perfil (Tab Derecho)</t>
  </si>
  <si>
    <t>Gestión de rutas guardadas (uso offline), logros desbloqueados y configuración de la audioguía.</t>
  </si>
  <si>
    <t>2. La Arquitectura Híbrida (El Asesino de Costos)</t>
  </si>
  <si>
    <t>LLM con Caching Semántico</t>
  </si>
  <si>
    <t>No se llama a OpenAI/Anthropic para rutas obvias. Si un turista pide un tour clásico y hay un 95% de similitud con un pedido anterior, se le entrega el JSON cacheado (costo $0.00).</t>
  </si>
  <si>
    <t>Base de Datos Local (Nivel 1)</t>
  </si>
  <si>
    <t>Los 400 monumentos y museos principales de CABA viven en la base de datos (Supabase). No se paga por consultarlos.</t>
  </si>
  <si>
    <t>Mapbox y OSRM (Nivel 2)</t>
  </si>
  <si>
    <t>Se reemplaza a Google Maps por Mapbox para cargar los mapas base (25k usuarios gratis) y motores Open Source para trazar las rutas a pie gratis.</t>
  </si>
  <si>
    <t>Google Places On-Demand (Nivel 3)</t>
  </si>
  <si>
    <t>Solo se gatilla la API costosa de Google ($0.032 por búsqueda) cuando el bot necesita contexto en tiempo real ultra específico (ej. restaurantes abiertos ahora).</t>
  </si>
  <si>
    <t>Travel Pass ($4.99)</t>
  </si>
  <si>
    <t>Pase premium por 7 días (IA ilimitada, uso 100% offline, audioguía). Evita el abandono de las suscripciones mensuales.</t>
  </si>
  <si>
    <t>Comisiones Integradas (Afiliados)</t>
  </si>
  <si>
    <t>Integración con plataformas de tickets (Tiqets, GetYourGuide). Margen puro del 8% al 15% por cada entrada vendida.</t>
  </si>
  <si>
    <t>Patrocinios Locales</t>
  </si>
  <si>
    <t>Cobro a comercios locales (gastronomía, cafés) para destacar sus pines en el mapa o ser priorizados contextualmente.</t>
  </si>
  <si>
    <t>Categoría</t>
  </si>
  <si>
    <t>Proveedor Sugerido</t>
  </si>
  <si>
    <t>Concepto</t>
  </si>
  <si>
    <t>Costo Mensual</t>
  </si>
  <si>
    <t>Licencias Stores</t>
  </si>
  <si>
    <t>Apple App Store / Google Play</t>
  </si>
  <si>
    <t>Programa de desarrolladores</t>
  </si>
  <si>
    <t>Base de Datos</t>
  </si>
  <si>
    <t>Supabase (Pro Tier)</t>
  </si>
  <si>
    <t>Alojamiento de usuarios y base de CABA</t>
  </si>
  <si>
    <t>Almacenamiento</t>
  </si>
  <si>
    <t>Supabase Storage / AWS S3</t>
  </si>
  <si>
    <t>Hosting de imágenes y fotos</t>
  </si>
  <si>
    <t>Servidores</t>
  </si>
  <si>
    <t>Vercel</t>
  </si>
  <si>
    <t>Hosting del frontend y funciones IA</t>
  </si>
  <si>
    <t>Operaciones</t>
  </si>
  <si>
    <t>Namecheap + Resend</t>
  </si>
  <si>
    <t>Dominio web y correos (Auth)</t>
  </si>
  <si>
    <t>TOTAL FIJOS BASE</t>
  </si>
  <si>
    <t>Concepto Detallado</t>
  </si>
  <si>
    <t>Métrica Unit. Estimada (Optimizada)</t>
  </si>
  <si>
    <t>Costo por Usuario (Mes)</t>
  </si>
  <si>
    <t>IA (Tokens)</t>
  </si>
  <si>
    <t>LLM Entrada/Salida (GPT-4o-mini / Claude Haiku)</t>
  </si>
  <si>
    <t>Absorbiendo el 80% de consultas vía Caché Semántico</t>
  </si>
  <si>
    <t>Mapas (Ruteo)</t>
  </si>
  <si>
    <t>Mapbox Map Loads + SDK</t>
  </si>
  <si>
    <t>Descontando la capa gratuita y usando base local</t>
  </si>
  <si>
    <t>Mapas (POI)</t>
  </si>
  <si>
    <t>Google Places On-Demand + Mapbox Search</t>
  </si>
  <si>
    <t>Uso hiper-restringido a consultas dinámicas</t>
  </si>
  <si>
    <t>Datos Extras</t>
  </si>
  <si>
    <t>Lecturas y ancho de banda (AWS / Supabase)</t>
  </si>
  <si>
    <t>Escalable recién a partir del umbral gratuito</t>
  </si>
  <si>
    <t>TOTAL VARIABLE</t>
  </si>
  <si>
    <t>Por usuario activo al mes</t>
  </si>
  <si>
    <t>PARÁMETROS DE INGRESOS</t>
  </si>
  <si>
    <t>Valor</t>
  </si>
  <si>
    <t>Detalle</t>
  </si>
  <si>
    <t>Precio Travel Pass (USD)</t>
  </si>
  <si>
    <t>Pase premium por 7 días</t>
  </si>
  <si>
    <t>Comisión Tiendas (15%)</t>
  </si>
  <si>
    <t>Apple/Google Small Business Program</t>
  </si>
  <si>
    <t>Ingreso Neto por Pase</t>
  </si>
  <si>
    <t>Margen real por cada venta</t>
  </si>
  <si>
    <t>Fase del Proyecto</t>
  </si>
  <si>
    <t>Usuarios (MAU)</t>
  </si>
  <si>
    <t>Costo Fijo Escalonado</t>
  </si>
  <si>
    <t>Costo Variable</t>
  </si>
  <si>
    <t>Costo Total (Arq. Híbrida)</t>
  </si>
  <si>
    <t>Ventas Necesarias (Break-Even)</t>
  </si>
  <si>
    <t>% Conversión Necesaria</t>
  </si>
  <si>
    <t>1. MVP en CABA</t>
  </si>
  <si>
    <t>2. Tracción Inicial</t>
  </si>
  <si>
    <t>3. Validación</t>
  </si>
  <si>
    <t>4. Crecimiento</t>
  </si>
  <si>
    <t>3. Modelo de Monetización: Freemium, B2C y B2B</t>
  </si>
  <si>
    <t>Flujo de Caja</t>
  </si>
  <si>
    <t>Ingreso Neto</t>
  </si>
  <si>
    <t>Ventas</t>
  </si>
  <si>
    <t>Costo Infra</t>
  </si>
  <si>
    <t>Escala (MAU)</t>
  </si>
  <si>
    <t>ESCENARIO OPTIMISTA (4.5%)</t>
  </si>
  <si>
    <t>ESCENARIO CONSERVADOR (2.5%)</t>
  </si>
  <si>
    <t>ESCENARIO PESIMISTA (1.0%)</t>
  </si>
  <si>
    <t>Ingreso Neto por Venta</t>
  </si>
  <si>
    <t>Precio del Travel Pass (PVP)</t>
  </si>
  <si>
    <t>PARÁMETROS DEL MODELO</t>
  </si>
  <si>
    <t>La alta conversión en turismo responde a la 'utilidad sensible al tiempo' (time-sensitive utility). El usuario paga por urgencia en destino.</t>
  </si>
  <si>
    <t>Micropagos y Utilidad en Tiempo Real</t>
  </si>
  <si>
    <t>Global Subscription App Conversion Benchmarks</t>
  </si>
  <si>
    <t>Sitúa la conversión de la categoría de Viajes/Turismo (Install-to-Purchase) en 2.41%, por encima de otras verticales generales.</t>
  </si>
  <si>
    <t>Conversión en Travel: 2.41%</t>
  </si>
  <si>
    <t>UXCam Benchmarks (Travel)</t>
  </si>
  <si>
    <t>Establecen el estándar aceptado por la industria para la conversión Free-to-Paid en modelos de adopción masiva.</t>
  </si>
  <si>
    <t>Conversión Freemium: 2% - 5%</t>
  </si>
  <si>
    <t>Reportes Freemium SaaS (Meegle, Bajaj Finserv)</t>
  </si>
  <si>
    <t>Justificación Rigurosa</t>
  </si>
  <si>
    <t>Métrica Validada</t>
  </si>
  <si>
    <t>Fuente / Bibliografía (2026)</t>
  </si>
  <si>
    <t>Al superar la barrera del 'precio de un café', la fricción psicológica disminuye drásticamente.</t>
  </si>
  <si>
    <t>3.0% - 6.0%</t>
  </si>
  <si>
    <t>Micropagos (&lt; $5.00 USD)</t>
  </si>
  <si>
    <t>Tienen menor retención anual, pero la intención de pago es altísima en destino.</t>
  </si>
  <si>
    <t>1.5% - 4.0%</t>
  </si>
  <si>
    <t>Apps de Viaje (Travel)</t>
  </si>
  <si>
    <t>Suelen requerir que el usuario perciba un ahorro de tiempo inmediato.</t>
  </si>
  <si>
    <t>1.5% - 3.0%</t>
  </si>
  <si>
    <t>Utilidades y Productividad</t>
  </si>
  <si>
    <t>El promedio estándar para apps de consumo masivo con compras integradas (IAP).</t>
  </si>
  <si>
    <t>2.0% - 5.0%</t>
  </si>
  <si>
    <t>Apps Freemium Generales</t>
  </si>
  <si>
    <t>Contexto de Mercado</t>
  </si>
  <si>
    <t>Tasa Promedio (%)</t>
  </si>
  <si>
    <t>Categoría /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</si>
</sst>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2B3A42"/>
        <bgColor rgb="FF2B3A42"/>
      </patternFill>
    </fill>
    <fill>
      <patternFill patternType="solid">
        <fgColor rgb="FF3F5765"/>
        <bgColor rgb="FF3F5765"/>
      </patternFill>
    </fill>
    <fill>
      <patternFill patternType="solid">
        <fgColor rgb="FFF5F7F8"/>
        <bgColor rgb="FFF5F7F8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164" fontId="0" fillId="0" borderId="1" xfId="0" applyNumberFormat="1" applyBorder="1"/>
    <xf numFmtId="0" fontId="2" fillId="0" borderId="0" xfId="0" applyFont="1"/>
    <xf numFmtId="165" fontId="0" fillId="4" borderId="1" xfId="0" applyNumberFormat="1" applyFill="1" applyBorder="1"/>
    <xf numFmtId="165" fontId="0" fillId="0" borderId="1" xfId="0" applyNumberFormat="1" applyBorder="1"/>
    <xf numFmtId="164" fontId="2" fillId="4" borderId="1" xfId="0" applyNumberFormat="1" applyFont="1" applyFill="1" applyBorder="1"/>
    <xf numFmtId="3" fontId="0" fillId="0" borderId="1" xfId="0" applyNumberForma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10" fontId="0" fillId="0" borderId="1" xfId="0" applyNumberFormat="1" applyBorder="1"/>
    <xf numFmtId="3" fontId="0" fillId="4" borderId="1" xfId="0" applyNumberFormat="1" applyFill="1" applyBorder="1"/>
    <xf numFmtId="3" fontId="2" fillId="4" borderId="1" xfId="0" applyNumberFormat="1" applyFont="1" applyFill="1" applyBorder="1"/>
    <xf numFmtId="10" fontId="0" fillId="4" borderId="1" xfId="0" applyNumberFormat="1" applyFill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164" fontId="2" fillId="0" borderId="2" xfId="0" applyNumberFormat="1" applyFon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workbookViewId="0">
      <selection sqref="A1:B1"/>
    </sheetView>
  </sheetViews>
  <sheetFormatPr baseColWidth="10" defaultColWidth="9.140625" defaultRowHeight="15" x14ac:dyDescent="0.25"/>
  <cols>
    <col min="1" max="1" width="30" customWidth="1"/>
    <col min="2" max="2" width="80" customWidth="1"/>
  </cols>
  <sheetData>
    <row r="1" spans="1:2" ht="30" customHeight="1" x14ac:dyDescent="0.25">
      <c r="A1" s="21" t="s">
        <v>0</v>
      </c>
      <c r="B1" s="22"/>
    </row>
    <row r="3" spans="1:2" x14ac:dyDescent="0.25">
      <c r="A3" s="19" t="s">
        <v>1</v>
      </c>
      <c r="B3" s="20"/>
    </row>
    <row r="4" spans="1:2" ht="57.4" customHeight="1" x14ac:dyDescent="0.25">
      <c r="A4" s="2" t="s">
        <v>2</v>
      </c>
      <c r="B4" s="3" t="s">
        <v>3</v>
      </c>
    </row>
    <row r="5" spans="1:2" ht="39.4" customHeight="1" x14ac:dyDescent="0.25">
      <c r="A5" s="2" t="s">
        <v>4</v>
      </c>
      <c r="B5" s="3" t="s">
        <v>5</v>
      </c>
    </row>
    <row r="6" spans="1:2" ht="32.85" customHeight="1" x14ac:dyDescent="0.25">
      <c r="A6" s="2" t="s">
        <v>6</v>
      </c>
      <c r="B6" s="3" t="s">
        <v>7</v>
      </c>
    </row>
    <row r="8" spans="1:2" x14ac:dyDescent="0.25">
      <c r="A8" s="19" t="s">
        <v>8</v>
      </c>
      <c r="B8" s="20"/>
    </row>
    <row r="9" spans="1:2" ht="48.75" customHeight="1" x14ac:dyDescent="0.25">
      <c r="A9" s="2" t="s">
        <v>9</v>
      </c>
      <c r="B9" s="3" t="s">
        <v>10</v>
      </c>
    </row>
    <row r="10" spans="1:2" ht="36.4" customHeight="1" x14ac:dyDescent="0.25">
      <c r="A10" s="2" t="s">
        <v>11</v>
      </c>
      <c r="B10" s="3" t="s">
        <v>12</v>
      </c>
    </row>
    <row r="11" spans="1:2" ht="42" customHeight="1" x14ac:dyDescent="0.25">
      <c r="A11" s="2" t="s">
        <v>13</v>
      </c>
      <c r="B11" s="3" t="s">
        <v>14</v>
      </c>
    </row>
    <row r="12" spans="1:2" ht="45.2" customHeight="1" x14ac:dyDescent="0.25">
      <c r="A12" s="2" t="s">
        <v>15</v>
      </c>
      <c r="B12" s="3" t="s">
        <v>16</v>
      </c>
    </row>
    <row r="14" spans="1:2" x14ac:dyDescent="0.25">
      <c r="A14" s="19" t="s">
        <v>80</v>
      </c>
      <c r="B14" s="20"/>
    </row>
    <row r="15" spans="1:2" ht="37.15" customHeight="1" x14ac:dyDescent="0.25">
      <c r="A15" s="2" t="s">
        <v>17</v>
      </c>
      <c r="B15" s="3" t="s">
        <v>18</v>
      </c>
    </row>
    <row r="16" spans="1:2" ht="36.4" customHeight="1" x14ac:dyDescent="0.25">
      <c r="A16" s="2" t="s">
        <v>19</v>
      </c>
      <c r="B16" s="3" t="s">
        <v>20</v>
      </c>
    </row>
    <row r="17" spans="1:2" ht="36.75" customHeight="1" x14ac:dyDescent="0.25">
      <c r="A17" s="2" t="s">
        <v>21</v>
      </c>
      <c r="B17" s="3" t="s">
        <v>22</v>
      </c>
    </row>
  </sheetData>
  <mergeCells count="4">
    <mergeCell ref="A14:B14"/>
    <mergeCell ref="A8:B8"/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>
      <selection activeCell="C16" sqref="C16"/>
    </sheetView>
  </sheetViews>
  <sheetFormatPr baseColWidth="10" defaultColWidth="9.140625" defaultRowHeight="15" x14ac:dyDescent="0.25"/>
  <cols>
    <col min="1" max="1" width="20" customWidth="1"/>
    <col min="2" max="2" width="30" customWidth="1"/>
    <col min="3" max="3" width="45" customWidth="1"/>
    <col min="4" max="4" width="15" customWidth="1"/>
  </cols>
  <sheetData>
    <row r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s="5" t="s">
        <v>27</v>
      </c>
      <c r="B2" s="5" t="s">
        <v>28</v>
      </c>
      <c r="C2" s="5" t="s">
        <v>29</v>
      </c>
      <c r="D2" s="6">
        <v>10.41</v>
      </c>
    </row>
    <row r="3" spans="1:4" x14ac:dyDescent="0.25">
      <c r="A3" s="1" t="s">
        <v>30</v>
      </c>
      <c r="B3" s="1" t="s">
        <v>31</v>
      </c>
      <c r="C3" s="1" t="s">
        <v>32</v>
      </c>
      <c r="D3" s="7">
        <v>25</v>
      </c>
    </row>
    <row r="4" spans="1:4" x14ac:dyDescent="0.25">
      <c r="A4" s="5" t="s">
        <v>33</v>
      </c>
      <c r="B4" s="5" t="s">
        <v>34</v>
      </c>
      <c r="C4" s="5" t="s">
        <v>35</v>
      </c>
      <c r="D4" s="6">
        <v>5</v>
      </c>
    </row>
    <row r="5" spans="1:4" x14ac:dyDescent="0.25">
      <c r="A5" s="1" t="s">
        <v>36</v>
      </c>
      <c r="B5" s="1" t="s">
        <v>37</v>
      </c>
      <c r="C5" s="1" t="s">
        <v>38</v>
      </c>
      <c r="D5" s="7">
        <v>25</v>
      </c>
    </row>
    <row r="6" spans="1:4" x14ac:dyDescent="0.25">
      <c r="A6" s="5" t="s">
        <v>39</v>
      </c>
      <c r="B6" s="5" t="s">
        <v>40</v>
      </c>
      <c r="C6" s="5" t="s">
        <v>41</v>
      </c>
      <c r="D6" s="6">
        <v>5</v>
      </c>
    </row>
    <row r="7" spans="1:4" x14ac:dyDescent="0.25">
      <c r="A7" s="8" t="s">
        <v>42</v>
      </c>
      <c r="D7" s="8">
        <f>SUM(D2:D6)</f>
        <v>70.41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C42" sqref="C42"/>
    </sheetView>
  </sheetViews>
  <sheetFormatPr baseColWidth="10" defaultColWidth="9.140625" defaultRowHeight="15" x14ac:dyDescent="0.25"/>
  <cols>
    <col min="1" max="1" width="20" customWidth="1"/>
    <col min="2" max="2" width="45" customWidth="1"/>
    <col min="3" max="3" width="60" customWidth="1"/>
    <col min="4" max="4" width="25" customWidth="1"/>
  </cols>
  <sheetData>
    <row r="1" spans="1:4" x14ac:dyDescent="0.25">
      <c r="A1" s="4" t="s">
        <v>23</v>
      </c>
      <c r="B1" s="4" t="s">
        <v>43</v>
      </c>
      <c r="C1" s="4" t="s">
        <v>44</v>
      </c>
      <c r="D1" s="4" t="s">
        <v>45</v>
      </c>
    </row>
    <row r="2" spans="1:4" x14ac:dyDescent="0.25">
      <c r="A2" s="5" t="s">
        <v>46</v>
      </c>
      <c r="B2" s="5" t="s">
        <v>47</v>
      </c>
      <c r="C2" s="5" t="s">
        <v>48</v>
      </c>
      <c r="D2" s="9">
        <v>1.5E-3</v>
      </c>
    </row>
    <row r="3" spans="1:4" x14ac:dyDescent="0.25">
      <c r="A3" s="1" t="s">
        <v>49</v>
      </c>
      <c r="B3" s="1" t="s">
        <v>50</v>
      </c>
      <c r="C3" s="1" t="s">
        <v>51</v>
      </c>
      <c r="D3" s="10">
        <v>0</v>
      </c>
    </row>
    <row r="4" spans="1:4" x14ac:dyDescent="0.25">
      <c r="A4" s="5" t="s">
        <v>52</v>
      </c>
      <c r="B4" s="5" t="s">
        <v>53</v>
      </c>
      <c r="C4" s="5" t="s">
        <v>54</v>
      </c>
      <c r="D4" s="9">
        <v>1E-3</v>
      </c>
    </row>
    <row r="5" spans="1:4" x14ac:dyDescent="0.25">
      <c r="A5" s="1" t="s">
        <v>55</v>
      </c>
      <c r="B5" s="1" t="s">
        <v>56</v>
      </c>
      <c r="C5" s="1" t="s">
        <v>57</v>
      </c>
      <c r="D5" s="10">
        <v>0</v>
      </c>
    </row>
    <row r="6" spans="1:4" x14ac:dyDescent="0.25">
      <c r="A6" s="8" t="s">
        <v>58</v>
      </c>
      <c r="B6" t="s">
        <v>59</v>
      </c>
      <c r="D6" s="8">
        <f>SUM(D2:D5)</f>
        <v>2.5000000000000001E-3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selection activeCell="E10" sqref="E10"/>
    </sheetView>
  </sheetViews>
  <sheetFormatPr baseColWidth="10" defaultColWidth="9.140625" defaultRowHeight="15" x14ac:dyDescent="0.25"/>
  <cols>
    <col min="1" max="1" width="25" customWidth="1"/>
    <col min="2" max="2" width="15" customWidth="1"/>
    <col min="3" max="3" width="22" customWidth="1"/>
    <col min="4" max="4" width="20" customWidth="1"/>
    <col min="5" max="5" width="25" customWidth="1"/>
    <col min="6" max="6" width="30" customWidth="1"/>
    <col min="7" max="7" width="25" customWidth="1"/>
  </cols>
  <sheetData>
    <row r="1" spans="1:7" ht="30" x14ac:dyDescent="0.25">
      <c r="A1" s="4" t="s">
        <v>60</v>
      </c>
      <c r="B1" s="4" t="s">
        <v>61</v>
      </c>
      <c r="C1" s="4" t="s">
        <v>62</v>
      </c>
    </row>
    <row r="2" spans="1:7" x14ac:dyDescent="0.25">
      <c r="A2" s="5" t="s">
        <v>63</v>
      </c>
      <c r="B2" s="6">
        <v>4.99</v>
      </c>
      <c r="C2" s="5" t="s">
        <v>64</v>
      </c>
    </row>
    <row r="3" spans="1:7" x14ac:dyDescent="0.25">
      <c r="A3" s="1" t="s">
        <v>65</v>
      </c>
      <c r="B3" s="7">
        <f>B2*0.15</f>
        <v>0.74850000000000005</v>
      </c>
      <c r="C3" s="1" t="s">
        <v>66</v>
      </c>
    </row>
    <row r="4" spans="1:7" x14ac:dyDescent="0.25">
      <c r="A4" s="5" t="s">
        <v>67</v>
      </c>
      <c r="B4" s="11">
        <f>B2-B3</f>
        <v>4.2415000000000003</v>
      </c>
      <c r="C4" s="5" t="s">
        <v>68</v>
      </c>
    </row>
    <row r="6" spans="1:7" ht="30" x14ac:dyDescent="0.25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</row>
    <row r="7" spans="1:7" x14ac:dyDescent="0.25">
      <c r="A7" s="1" t="s">
        <v>76</v>
      </c>
      <c r="B7" s="12">
        <v>500</v>
      </c>
      <c r="C7" s="7">
        <f>'Costos Fijos'!D7</f>
        <v>70.41</v>
      </c>
      <c r="D7" s="7">
        <f>B7*'Costos Variables Unitarios'!D6</f>
        <v>1.25</v>
      </c>
      <c r="E7" s="13">
        <f>C7+D7</f>
        <v>71.66</v>
      </c>
      <c r="F7" s="14">
        <f>ROUNDUP(E7/$B$4, 0)</f>
        <v>17</v>
      </c>
      <c r="G7" s="15">
        <f>F7/B7</f>
        <v>3.4000000000000002E-2</v>
      </c>
    </row>
    <row r="8" spans="1:7" x14ac:dyDescent="0.25">
      <c r="A8" s="5" t="s">
        <v>77</v>
      </c>
      <c r="B8" s="16">
        <v>2500</v>
      </c>
      <c r="C8" s="6">
        <f>'Costos Fijos'!D7</f>
        <v>70.41</v>
      </c>
      <c r="D8" s="6">
        <f>B8*'Costos Variables Unitarios'!D6</f>
        <v>6.25</v>
      </c>
      <c r="E8" s="11">
        <f>C8+D8</f>
        <v>76.66</v>
      </c>
      <c r="F8" s="17">
        <f>ROUNDUP(E8/$B$4, 0)</f>
        <v>19</v>
      </c>
      <c r="G8" s="18">
        <f>F8/B8</f>
        <v>7.6E-3</v>
      </c>
    </row>
    <row r="9" spans="1:7" x14ac:dyDescent="0.25">
      <c r="A9" s="1" t="s">
        <v>78</v>
      </c>
      <c r="B9" s="12">
        <v>10000</v>
      </c>
      <c r="C9" s="7">
        <f>'Costos Fijos'!D7+15</f>
        <v>85.41</v>
      </c>
      <c r="D9" s="7">
        <f>B9*'Costos Variables Unitarios'!D6</f>
        <v>25</v>
      </c>
      <c r="E9" s="13">
        <f>C9+D9</f>
        <v>110.41</v>
      </c>
      <c r="F9" s="14">
        <f>ROUNDUP(E9/$B$4, 0)</f>
        <v>27</v>
      </c>
      <c r="G9" s="15">
        <f>F9/B9</f>
        <v>2.7000000000000001E-3</v>
      </c>
    </row>
    <row r="10" spans="1:7" x14ac:dyDescent="0.25">
      <c r="A10" s="5" t="s">
        <v>79</v>
      </c>
      <c r="B10" s="16">
        <v>50000</v>
      </c>
      <c r="C10" s="6">
        <f>'Costos Fijos'!D7+80</f>
        <v>150.41</v>
      </c>
      <c r="D10" s="6">
        <f>B10*'Costos Variables Unitarios'!D6</f>
        <v>125</v>
      </c>
      <c r="E10" s="11">
        <f>C10+D10</f>
        <v>275.40999999999997</v>
      </c>
      <c r="F10" s="17">
        <f>ROUNDUP(E10/$B$4, 0)</f>
        <v>65</v>
      </c>
      <c r="G10" s="18">
        <f>F10/B10</f>
        <v>1.2999999999999999E-3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7AEC-70DB-4E55-A3D5-25FED9364FCC}">
  <dimension ref="A1:K11"/>
  <sheetViews>
    <sheetView showGridLines="0" workbookViewId="0">
      <selection activeCell="B11" sqref="B11"/>
    </sheetView>
  </sheetViews>
  <sheetFormatPr baseColWidth="10" defaultColWidth="9.140625" defaultRowHeight="15" x14ac:dyDescent="0.25"/>
  <cols>
    <col min="1" max="1" width="35" customWidth="1"/>
    <col min="2" max="11" width="15" customWidth="1"/>
  </cols>
  <sheetData>
    <row r="1" spans="1:11" x14ac:dyDescent="0.25">
      <c r="A1" s="26" t="s">
        <v>91</v>
      </c>
      <c r="B1" s="26" t="s">
        <v>61</v>
      </c>
    </row>
    <row r="2" spans="1:11" x14ac:dyDescent="0.25">
      <c r="A2" s="29" t="s">
        <v>90</v>
      </c>
      <c r="B2" s="24">
        <v>4.99</v>
      </c>
    </row>
    <row r="3" spans="1:11" x14ac:dyDescent="0.25">
      <c r="A3" s="29" t="s">
        <v>65</v>
      </c>
      <c r="B3" s="24">
        <f>B2*0.15</f>
        <v>0.74850000000000005</v>
      </c>
    </row>
    <row r="4" spans="1:11" x14ac:dyDescent="0.25">
      <c r="A4" s="29" t="s">
        <v>89</v>
      </c>
      <c r="B4" s="24">
        <f>B2-B3</f>
        <v>4.2415000000000003</v>
      </c>
    </row>
    <row r="5" spans="1:11" ht="15.75" thickBot="1" x14ac:dyDescent="0.3"/>
    <row r="6" spans="1:11" x14ac:dyDescent="0.25">
      <c r="C6" s="28" t="s">
        <v>88</v>
      </c>
      <c r="D6" s="27"/>
      <c r="E6" s="27"/>
      <c r="F6" s="28" t="s">
        <v>87</v>
      </c>
      <c r="G6" s="27"/>
      <c r="H6" s="27"/>
      <c r="I6" s="28" t="s">
        <v>86</v>
      </c>
      <c r="J6" s="27"/>
      <c r="K6" s="27"/>
    </row>
    <row r="7" spans="1:11" x14ac:dyDescent="0.25">
      <c r="A7" s="26" t="s">
        <v>85</v>
      </c>
      <c r="B7" s="26" t="s">
        <v>84</v>
      </c>
      <c r="C7" s="26" t="s">
        <v>83</v>
      </c>
      <c r="D7" s="26" t="s">
        <v>82</v>
      </c>
      <c r="E7" s="26" t="s">
        <v>81</v>
      </c>
      <c r="F7" s="26" t="s">
        <v>83</v>
      </c>
      <c r="G7" s="26" t="s">
        <v>82</v>
      </c>
      <c r="H7" s="26" t="s">
        <v>81</v>
      </c>
      <c r="I7" s="26" t="s">
        <v>83</v>
      </c>
      <c r="J7" s="26" t="s">
        <v>82</v>
      </c>
      <c r="K7" s="26" t="s">
        <v>81</v>
      </c>
    </row>
    <row r="8" spans="1:11" x14ac:dyDescent="0.25">
      <c r="A8" s="25">
        <v>500</v>
      </c>
      <c r="B8" s="24">
        <v>60.8</v>
      </c>
      <c r="C8" s="25">
        <f>ROUND(500*0.01, 0)</f>
        <v>5</v>
      </c>
      <c r="D8" s="24">
        <f>C8*$B$4</f>
        <v>21.207500000000003</v>
      </c>
      <c r="E8" s="23">
        <f>D8-$B8</f>
        <v>-39.592499999999994</v>
      </c>
      <c r="F8" s="25">
        <f>ROUND(500*0.025, 0)</f>
        <v>13</v>
      </c>
      <c r="G8" s="24">
        <f>F8*$B$4</f>
        <v>55.139500000000005</v>
      </c>
      <c r="H8" s="23">
        <f>G8-$B8</f>
        <v>-5.6604999999999919</v>
      </c>
      <c r="I8" s="25">
        <f>ROUND(500*0.045, 0)</f>
        <v>23</v>
      </c>
      <c r="J8" s="24">
        <f>I8*$B$4</f>
        <v>97.554500000000004</v>
      </c>
      <c r="K8" s="23">
        <f>J8-$B8</f>
        <v>36.754500000000007</v>
      </c>
    </row>
    <row r="9" spans="1:11" x14ac:dyDescent="0.25">
      <c r="A9" s="25">
        <v>2500</v>
      </c>
      <c r="B9" s="24">
        <v>64</v>
      </c>
      <c r="C9" s="25">
        <f>ROUND(2500*0.01, 0)</f>
        <v>25</v>
      </c>
      <c r="D9" s="24">
        <f>C9*$B$4</f>
        <v>106.03750000000001</v>
      </c>
      <c r="E9" s="23">
        <f>D9-$B9</f>
        <v>42.037500000000009</v>
      </c>
      <c r="F9" s="25">
        <f>ROUND(2500*0.025, 0)</f>
        <v>63</v>
      </c>
      <c r="G9" s="24">
        <f>F9*$B$4</f>
        <v>267.21450000000004</v>
      </c>
      <c r="H9" s="23">
        <f>G9-$B9</f>
        <v>203.21450000000004</v>
      </c>
      <c r="I9" s="25">
        <f>ROUND(2500*0.045, 0)</f>
        <v>113</v>
      </c>
      <c r="J9" s="24">
        <f>I9*$B$4</f>
        <v>479.28950000000003</v>
      </c>
      <c r="K9" s="23">
        <f>J9-$B9</f>
        <v>415.28950000000003</v>
      </c>
    </row>
    <row r="10" spans="1:11" x14ac:dyDescent="0.25">
      <c r="A10" s="25">
        <v>10000</v>
      </c>
      <c r="B10" s="24">
        <v>126</v>
      </c>
      <c r="C10" s="25">
        <f>ROUND(10000*0.01, 0)</f>
        <v>100</v>
      </c>
      <c r="D10" s="24">
        <f>C10*$B$4</f>
        <v>424.15000000000003</v>
      </c>
      <c r="E10" s="23">
        <f>D10-$B10</f>
        <v>298.15000000000003</v>
      </c>
      <c r="F10" s="25">
        <f>ROUND(10000*0.025, 0)</f>
        <v>250</v>
      </c>
      <c r="G10" s="24">
        <f>F10*$B$4</f>
        <v>1060.375</v>
      </c>
      <c r="H10" s="23">
        <f>G10-$B10</f>
        <v>934.375</v>
      </c>
      <c r="I10" s="25">
        <f>ROUND(10000*0.045, 0)</f>
        <v>450</v>
      </c>
      <c r="J10" s="24">
        <f>I10*$B$4</f>
        <v>1908.6750000000002</v>
      </c>
      <c r="K10" s="23">
        <f>J10-$B10</f>
        <v>1782.6750000000002</v>
      </c>
    </row>
    <row r="11" spans="1:11" x14ac:dyDescent="0.25">
      <c r="A11" s="25">
        <v>50000</v>
      </c>
      <c r="B11" s="24">
        <v>342.5</v>
      </c>
      <c r="C11" s="25">
        <f>ROUND(50000*0.01, 0)</f>
        <v>500</v>
      </c>
      <c r="D11" s="24">
        <f>C11*$B$4</f>
        <v>2120.75</v>
      </c>
      <c r="E11" s="23">
        <f>D11-$B11</f>
        <v>1778.25</v>
      </c>
      <c r="F11" s="25">
        <f>ROUND(50000*0.025, 0)</f>
        <v>1250</v>
      </c>
      <c r="G11" s="24">
        <f>F11*$B$4</f>
        <v>5301.875</v>
      </c>
      <c r="H11" s="23">
        <f>G11-$B11</f>
        <v>4959.375</v>
      </c>
      <c r="I11" s="25">
        <f>ROUND(50000*0.045, 0)</f>
        <v>2250</v>
      </c>
      <c r="J11" s="24">
        <f>I11*$B$4</f>
        <v>9543.375</v>
      </c>
      <c r="K11" s="23">
        <f>J11-$B11</f>
        <v>9200.875</v>
      </c>
    </row>
  </sheetData>
  <mergeCells count="3">
    <mergeCell ref="F6:H6"/>
    <mergeCell ref="C6:E6"/>
    <mergeCell ref="I6: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70B7-C933-46E7-A54D-923419DFB9E7}">
  <dimension ref="A1:C10"/>
  <sheetViews>
    <sheetView showGridLines="0" tabSelected="1" workbookViewId="0">
      <selection activeCell="C20" sqref="C20"/>
    </sheetView>
  </sheetViews>
  <sheetFormatPr baseColWidth="10" defaultColWidth="9.140625" defaultRowHeight="15" x14ac:dyDescent="0.25"/>
  <cols>
    <col min="1" max="1" width="35" customWidth="1"/>
    <col min="2" max="2" width="25" customWidth="1"/>
    <col min="3" max="3" width="75" customWidth="1"/>
  </cols>
  <sheetData>
    <row r="1" spans="1:3" x14ac:dyDescent="0.25">
      <c r="A1" s="26" t="s">
        <v>118</v>
      </c>
      <c r="B1" s="26" t="s">
        <v>117</v>
      </c>
      <c r="C1" s="26" t="s">
        <v>116</v>
      </c>
    </row>
    <row r="2" spans="1:3" x14ac:dyDescent="0.25">
      <c r="A2" s="30" t="s">
        <v>115</v>
      </c>
      <c r="B2" s="30" t="s">
        <v>114</v>
      </c>
      <c r="C2" s="30" t="s">
        <v>113</v>
      </c>
    </row>
    <row r="3" spans="1:3" x14ac:dyDescent="0.25">
      <c r="A3" s="29" t="s">
        <v>112</v>
      </c>
      <c r="B3" s="29" t="s">
        <v>111</v>
      </c>
      <c r="C3" s="29" t="s">
        <v>110</v>
      </c>
    </row>
    <row r="4" spans="1:3" x14ac:dyDescent="0.25">
      <c r="A4" s="30" t="s">
        <v>109</v>
      </c>
      <c r="B4" s="30" t="s">
        <v>108</v>
      </c>
      <c r="C4" s="30" t="s">
        <v>107</v>
      </c>
    </row>
    <row r="5" spans="1:3" ht="30" x14ac:dyDescent="0.25">
      <c r="A5" s="29" t="s">
        <v>106</v>
      </c>
      <c r="B5" s="29" t="s">
        <v>105</v>
      </c>
      <c r="C5" s="29" t="s">
        <v>104</v>
      </c>
    </row>
    <row r="7" spans="1:3" x14ac:dyDescent="0.25">
      <c r="A7" s="26" t="s">
        <v>103</v>
      </c>
      <c r="B7" s="26" t="s">
        <v>102</v>
      </c>
      <c r="C7" s="26" t="s">
        <v>101</v>
      </c>
    </row>
    <row r="8" spans="1:3" ht="30" x14ac:dyDescent="0.25">
      <c r="A8" s="30" t="s">
        <v>100</v>
      </c>
      <c r="B8" s="30" t="s">
        <v>99</v>
      </c>
      <c r="C8" s="30" t="s">
        <v>98</v>
      </c>
    </row>
    <row r="9" spans="1:3" ht="30" x14ac:dyDescent="0.25">
      <c r="A9" s="29" t="s">
        <v>97</v>
      </c>
      <c r="B9" s="29" t="s">
        <v>96</v>
      </c>
      <c r="C9" s="29" t="s">
        <v>95</v>
      </c>
    </row>
    <row r="10" spans="1:3" ht="30" x14ac:dyDescent="0.25">
      <c r="A10" s="30" t="s">
        <v>94</v>
      </c>
      <c r="B10" s="30" t="s">
        <v>93</v>
      </c>
      <c r="C10" s="30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Estrategia y Arquitectura</vt:lpstr>
      <vt:lpstr>Costos Fijos</vt:lpstr>
      <vt:lpstr>Costos Variables Unitarios</vt:lpstr>
      <vt:lpstr>Proyección y Break-Even</vt:lpstr>
      <vt:lpstr>Proyección de Ingresos Netos</vt:lpstr>
      <vt:lpstr>Benchmark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Felipe</cp:lastModifiedBy>
  <dcterms:created xsi:type="dcterms:W3CDTF">2026-08-18T20:51:42Z</dcterms:created>
  <dcterms:modified xsi:type="dcterms:W3CDTF">2026-08-18T21:11:11Z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a57a1-68dc-4295-9706-9476bd9e0370_Enabled">
    <vt:lpwstr>true</vt:lpwstr>
  </property>
  <property fmtid="{D5CDD505-2E9C-101B-9397-08002B2CF9AE}" pid="3" name="MSIP_Label_38da57a1-68dc-4295-9706-9476bd9e0370_SetDate">
    <vt:lpwstr>2026-08-18T20:57:41Z</vt:lpwstr>
  </property>
  <property fmtid="{D5CDD505-2E9C-101B-9397-08002B2CF9AE}" pid="4" name="MSIP_Label_38da57a1-68dc-4295-9706-9476bd9e0370_Method">
    <vt:lpwstr>Standard</vt:lpwstr>
  </property>
  <property fmtid="{D5CDD505-2E9C-101B-9397-08002B2CF9AE}" pid="5" name="MSIP_Label_38da57a1-68dc-4295-9706-9476bd9e0370_Name">
    <vt:lpwstr>defa4170-0d19-0005-0002-bc88714345d2</vt:lpwstr>
  </property>
  <property fmtid="{D5CDD505-2E9C-101B-9397-08002B2CF9AE}" pid="6" name="MSIP_Label_38da57a1-68dc-4295-9706-9476bd9e0370_SiteId">
    <vt:lpwstr>1673d597-412b-4591-b4fc-b4aebba0cea2</vt:lpwstr>
  </property>
  <property fmtid="{D5CDD505-2E9C-101B-9397-08002B2CF9AE}" pid="7" name="MSIP_Label_38da57a1-68dc-4295-9706-9476bd9e0370_ActionId">
    <vt:lpwstr>e19bae98-b445-4f14-bfda-74bf9fa27bfa</vt:lpwstr>
  </property>
  <property fmtid="{D5CDD505-2E9C-101B-9397-08002B2CF9AE}" pid="8" name="MSIP_Label_38da57a1-68dc-4295-9706-9476bd9e0370_ContentBits">
    <vt:lpwstr>0</vt:lpwstr>
  </property>
  <property fmtid="{D5CDD505-2E9C-101B-9397-08002B2CF9AE}" pid="9" name="MSIP_Label_38da57a1-68dc-4295-9706-9476bd9e0370_Tag">
    <vt:lpwstr>10, 3, 0, 1</vt:lpwstr>
  </property>
</Properties>
</file>